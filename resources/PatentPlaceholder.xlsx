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af38ef78af49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3662fb9873c45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000"/>
    <x:numFmt numFmtId="201" formatCode="0.000"/>
    <x:numFmt numFmtId="202" formatCode="0.00000"/>
    <x:numFmt numFmtId="203" formatCode="0.00000000"/>
    <x:numFmt numFmtId="204" formatCode="0.000000"/>
    <x:numFmt numFmtId="205" formatCode="0.00"/>
  </x:numFmts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205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a3e6a91d284f5e" /><Relationship Type="http://schemas.openxmlformats.org/officeDocument/2006/relationships/theme" Target="/xl/theme/theme1.xml" Id="R344ae404e5ef4dd7" /><Relationship Type="http://schemas.openxmlformats.org/officeDocument/2006/relationships/sharedStrings" Target="/xl/sharedStrings.xml" Id="R1fd22a715eb54935" /><Relationship Type="http://schemas.openxmlformats.org/officeDocument/2006/relationships/worksheet" Target="/xl/worksheets/sheet1.xml" Id="R93662fb9873c45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5"/>
  <x:cols>
    <x:col min="1" max="1" width="14" hidden="0" customWidth="1"/>
    <x:col min="2" max="2" width="14" hidden="0" customWidth="1"/>
    <x:col min="3" max="3" width="9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>
      <x:c r="A1" t="str">
        <x:v>Rudolph Planar f/4 — US583336A, Example 2 (1897)</x:v>
      </x:c>
    </x:row>
    <x:row r="2" ht="30" customHeight="1">
      <x:c r="A2" s="7" t="str">
        <x:v>Rad / f</x:v>
      </x:c>
      <x:c r="B2" s="7" t="str">
        <x:v>Thic / f</x:v>
      </x:c>
      <x:c r="C2" s="7" t="str">
        <x:v>Surface</x:v>
      </x:c>
      <x:c r="D2" s="7" t="str">
        <x:v>Rad (mm)</x:v>
      </x:c>
      <x:c r="E2" s="7" t="str">
        <x:v>Thic (mm)</x:v>
      </x:c>
      <x:c r="F2" s="7" t="str">
        <x:v>nD</x:v>
      </x:c>
      <x:c r="G2" s="7" t="str">
        <x:v>Disp D–Hγ</x:v>
      </x:c>
      <x:c r="H2" s="7" t="str">
        <x:v>CATE</x:v>
      </x:c>
      <x:c r="I2" s="7" t="str">
        <x:v>NAME</x:v>
      </x:c>
      <x:c r="J2" s="7" t="str">
        <x:v>nHγ</x:v>
      </x:c>
      <x:c r="K2" s="7" t="str">
        <x:v>Actual nD</x:v>
      </x:c>
      <x:c r="L2" s="7" t="str">
        <x:v>Actual disp</x:v>
      </x:c>
    </x:row>
    <x:row r="3">
      <x:c r="A3" s="1" t="n">
        <x:v>0.3147</x:v>
      </x:c>
      <x:c r="B3" s="1" t="n">
        <x:v>0.0308</x:v>
      </x:c>
      <x:c r="C3" t="n">
        <x:v>1</x:v>
      </x:c>
      <x:c r="D3" s="2" t="n">
        <x:f>A3*$D$16</x:f>
        <x:v>15.735</x:v>
      </x:c>
      <x:c r="E3" s="2" t="n">
        <x:f>B3*$D$16</x:f>
        <x:v>1.54</x:v>
      </x:c>
      <x:c r="F3" s="3" t="n">
        <x:v>1.57244</x:v>
      </x:c>
      <x:c r="G3" s="3" t="n">
        <x:v>0.02215</x:v>
      </x:c>
      <x:c r="H3" t="str">
        <x:v>SCHOTT</x:v>
      </x:c>
      <x:c r="I3" t="str">
        <x:v>N-BAK1</x:v>
      </x:c>
      <x:c r="J3" s="4" t="n">
        <x:v>1.58512</x:v>
      </x:c>
      <x:c r="K3" s="4" t="n">
        <x:v>1.572411339596549</x:v>
      </x:c>
      <x:c r="L3" s="4" t="n">
        <x:v>0.022183621799895057</x:v>
      </x:c>
    </x:row>
    <x:row r="4">
      <x:c r="A4" s="1" t="n">
        <x:v>1.5434</x:v>
      </x:c>
      <x:c r="B4" s="1" t="n">
        <x:v>0.0026</x:v>
      </x:c>
      <x:c r="C4" t="n">
        <x:v>2</x:v>
      </x:c>
      <x:c r="D4" s="2" t="n">
        <x:f>A4*$D$16</x:f>
        <x:v>77.17</x:v>
      </x:c>
      <x:c r="E4" s="2" t="n">
        <x:f>B4*$D$16</x:f>
        <x:v>0.13</x:v>
      </x:c>
      <x:c r="F4" s="3"/>
      <x:c r="G4" s="3"/>
      <x:c r="H4"/>
      <x:c r="I4"/>
      <x:c r="J4" s="4"/>
      <x:c r="K4" s="4"/>
      <x:c r="L4" s="4"/>
    </x:row>
    <x:row r="5">
      <x:c r="A5" s="1" t="n">
        <x:v>0.3599</x:v>
      </x:c>
      <x:c r="B5" s="1" t="n">
        <x:v>0.0514</x:v>
      </x:c>
      <x:c r="C5" t="n">
        <x:v>3</x:v>
      </x:c>
      <x:c r="D5" s="2" t="n">
        <x:f>A5*$D$16</x:f>
        <x:v>17.995</x:v>
      </x:c>
      <x:c r="E5" s="2" t="n">
        <x:f>B5*$D$16</x:f>
        <x:v>2.5700000000000003</x:v>
      </x:c>
      <x:c r="F5" s="3" t="n">
        <x:v>1.57244</x:v>
      </x:c>
      <x:c r="G5" s="3" t="n">
        <x:v>0.02215</x:v>
      </x:c>
      <x:c r="H5" t="str">
        <x:v>SCHOTT</x:v>
      </x:c>
      <x:c r="I5" t="str">
        <x:v>N-BAK1</x:v>
      </x:c>
      <x:c r="J5" s="4" t="n">
        <x:v>1.58512</x:v>
      </x:c>
      <x:c r="K5" s="4" t="n">
        <x:v>1.572411339596549</x:v>
      </x:c>
      <x:c r="L5" s="4" t="n">
        <x:v>0.022183621799895057</x:v>
      </x:c>
    </x:row>
    <x:row r="6">
      <x:c r="A6" s="1" t="n">
        <x:v>-0.437</x:v>
      </x:c>
      <x:c r="B6" s="1" t="n">
        <x:v>0.0411</x:v>
      </x:c>
      <x:c r="C6" t="n">
        <x:v>4</x:v>
      </x:c>
      <x:c r="D6" s="2" t="n">
        <x:f>A6*$D$16</x:f>
        <x:v>-21.85</x:v>
      </x:c>
      <x:c r="E6" s="2" t="n">
        <x:f>B6*$D$16</x:f>
        <x:v>2.0549999999999997</x:v>
      </x:c>
      <x:c r="F6" s="3" t="n">
        <x:v>1.57631</x:v>
      </x:c>
      <x:c r="G6" s="3" t="n">
        <x:v>0.02769</x:v>
      </x:c>
      <x:c r="H6" t="str">
        <x:v>SCHOTT</x:v>
      </x:c>
      <x:c r="I6" t="str">
        <x:v>N-BAF3</x:v>
      </x:c>
      <x:c r="J6" s="4" t="n">
        <x:v>1.59227</x:v>
      </x:c>
      <x:c r="K6" s="4" t="n">
        <x:v>1.5826122737751602</x:v>
      </x:c>
      <x:c r="L6" s="4" t="n">
        <x:v>0.02791115328240441</x:v>
      </x:c>
    </x:row>
    <x:row r="7">
      <x:c r="A7" s="1" t="n">
        <x:v>0.1954</x:v>
      </x:c>
      <x:c r="B7" s="1" t="n">
        <x:v>0.0514</x:v>
      </x:c>
      <x:c r="C7" t="n">
        <x:v>5</x:v>
      </x:c>
      <x:c r="D7" s="2" t="n">
        <x:f>A7*$D$16</x:f>
        <x:v>9.77</x:v>
      </x:c>
      <x:c r="E7" s="2" t="n">
        <x:f>B7*$D$16</x:f>
        <x:v>2.5700000000000003</x:v>
      </x:c>
      <x:c r="F7" s="3"/>
      <x:c r="G7" s="3"/>
      <x:c r="H7"/>
      <x:c r="I7"/>
      <x:c r="J7" s="4"/>
      <x:c r="K7" s="4"/>
      <x:c r="L7" s="4"/>
    </x:row>
    <x:row r="8">
      <x:c r="A8" s="1" t="str">
        <x:v>AS</x:v>
      </x:c>
      <x:c r="B8" s="1" t="n">
        <x:v>0.0514</x:v>
      </x:c>
      <x:c r="C8" t="n">
        <x:v>6</x:v>
      </x:c>
      <x:c r="D8" s="2" t="str">
        <x:v>AS</x:v>
      </x:c>
      <x:c r="E8" s="2" t="n">
        <x:f>B8*$D$16</x:f>
        <x:v>2.5700000000000003</x:v>
      </x:c>
      <x:c r="F8" s="3"/>
      <x:c r="G8" s="3"/>
      <x:c r="H8"/>
      <x:c r="I8"/>
      <x:c r="J8" s="4"/>
      <x:c r="K8" s="4"/>
      <x:c r="L8" s="4"/>
    </x:row>
    <x:row r="9">
      <x:c r="A9" s="1" t="n">
        <x:v>-0.1954</x:v>
      </x:c>
      <x:c r="B9" s="1" t="n">
        <x:v>0.0411</x:v>
      </x:c>
      <x:c r="C9" t="n">
        <x:v>7</x:v>
      </x:c>
      <x:c r="D9" s="2" t="n">
        <x:f>A9*$D$16</x:f>
        <x:v>-9.77</x:v>
      </x:c>
      <x:c r="E9" s="2" t="n">
        <x:f>B9*$D$16</x:f>
        <x:v>2.0549999999999997</x:v>
      </x:c>
      <x:c r="F9" s="3" t="n">
        <x:v>1.57631</x:v>
      </x:c>
      <x:c r="G9" s="3" t="n">
        <x:v>0.02769</x:v>
      </x:c>
      <x:c r="H9" t="str">
        <x:v>SCHOTT</x:v>
      </x:c>
      <x:c r="I9" t="str">
        <x:v>N-BAF3</x:v>
      </x:c>
      <x:c r="J9" s="4" t="n">
        <x:v>1.59227</x:v>
      </x:c>
      <x:c r="K9" s="4" t="n">
        <x:v>1.5826122737751602</x:v>
      </x:c>
      <x:c r="L9" s="4" t="n">
        <x:v>0.02791115328240441</x:v>
      </x:c>
    </x:row>
    <x:row r="10">
      <x:c r="A10" s="1" t="n">
        <x:v>0.437</x:v>
      </x:c>
      <x:c r="B10" s="1" t="n">
        <x:v>0.0514</x:v>
      </x:c>
      <x:c r="C10" t="n">
        <x:v>8</x:v>
      </x:c>
      <x:c r="D10" s="2" t="n">
        <x:f>A10*$D$16</x:f>
        <x:v>21.85</x:v>
      </x:c>
      <x:c r="E10" s="2" t="n">
        <x:f>B10*$D$16</x:f>
        <x:v>2.5700000000000003</x:v>
      </x:c>
      <x:c r="F10" s="3" t="n">
        <x:v>1.57244</x:v>
      </x:c>
      <x:c r="G10" s="3" t="n">
        <x:v>0.02215</x:v>
      </x:c>
      <x:c r="H10" t="str">
        <x:v>SCHOTT</x:v>
      </x:c>
      <x:c r="I10" t="str">
        <x:v>N-BAK1</x:v>
      </x:c>
      <x:c r="J10" s="4" t="n">
        <x:v>1.58512</x:v>
      </x:c>
      <x:c r="K10" s="4" t="n">
        <x:v>1.572411339596549</x:v>
      </x:c>
      <x:c r="L10" s="4" t="n">
        <x:v>0.022183621799895057</x:v>
      </x:c>
    </x:row>
    <x:row r="11">
      <x:c r="A11" s="1" t="n">
        <x:v>-0.3599</x:v>
      </x:c>
      <x:c r="B11" s="1" t="n">
        <x:v>0.0026</x:v>
      </x:c>
      <x:c r="C11" t="n">
        <x:v>9</x:v>
      </x:c>
      <x:c r="D11" s="2" t="n">
        <x:f>A11*$D$16</x:f>
        <x:v>-17.995</x:v>
      </x:c>
      <x:c r="E11" s="2" t="n">
        <x:f>B11*$D$16</x:f>
        <x:v>0.13</x:v>
      </x:c>
      <x:c r="F11" s="3"/>
      <x:c r="G11" s="3"/>
      <x:c r="H11"/>
      <x:c r="I11"/>
      <x:c r="J11" s="4"/>
      <x:c r="K11" s="4"/>
      <x:c r="L11" s="4"/>
    </x:row>
    <x:row r="12">
      <x:c r="A12" s="1" t="n">
        <x:v>-1.5434</x:v>
      </x:c>
      <x:c r="B12" s="1" t="n">
        <x:v>0.0308</x:v>
      </x:c>
      <x:c r="C12" t="n">
        <x:v>10</x:v>
      </x:c>
      <x:c r="D12" s="2" t="n">
        <x:f>A12*$D$16</x:f>
        <x:v>-77.17</x:v>
      </x:c>
      <x:c r="E12" s="2" t="n">
        <x:f>B12*$D$16</x:f>
        <x:v>1.54</x:v>
      </x:c>
      <x:c r="F12" s="3" t="n">
        <x:v>1.57244</x:v>
      </x:c>
      <x:c r="G12" s="3" t="n">
        <x:v>0.02215</x:v>
      </x:c>
      <x:c r="H12" t="str">
        <x:v>SCHOTT</x:v>
      </x:c>
      <x:c r="I12" t="str">
        <x:v>N-BAK1</x:v>
      </x:c>
      <x:c r="J12" s="4" t="n">
        <x:v>1.58512</x:v>
      </x:c>
      <x:c r="K12" s="4" t="n">
        <x:v>1.572411339596549</x:v>
      </x:c>
      <x:c r="L12" s="4" t="n">
        <x:v>0.022183621799895057</x:v>
      </x:c>
    </x:row>
    <x:row r="13">
      <x:c r="A13" s="1" t="n">
        <x:v>-0.3147</x:v>
      </x:c>
      <x:c r="B13" s="1" t="str">
        <x:v>Bf</x:v>
      </x:c>
      <x:c r="C13" t="n">
        <x:v>11</x:v>
      </x:c>
      <x:c r="D13" s="2" t="n">
        <x:f>A13*$D$16</x:f>
        <x:v>-15.735</x:v>
      </x:c>
      <x:c r="E13" s="2" t="str">
        <x:v>Bf</x:v>
      </x:c>
      <x:c r="F13" s="3"/>
      <x:c r="G13" s="3"/>
      <x:c r="H13"/>
      <x:c r="I13"/>
      <x:c r="J13" s="4"/>
      <x:c r="K13" s="4"/>
      <x:c r="L13" s="4"/>
    </x:row>
    <x:row r="15">
      <x:c r="A15" t="str">
        <x:v>Scale: patent dimensions are normalized to f = 1. Change D16 to rescale the millimeter columns.</x:v>
      </x:c>
    </x:row>
    <x:row r="16">
      <x:c r="A16" t="str">
        <x:v>Focal length (mm)</x:v>
      </x:c>
      <x:c r="D16" s="6" t="n">
        <x:v>50</x:v>
      </x:c>
    </x:row>
    <x:row r="17">
      <x:c r="A17" t="str">
        <x:v>Relative aperture</x:v>
      </x:c>
      <x:c r="D17" s="6" t="n">
        <x:v>0.25</x:v>
      </x:c>
      <x:c r="E17" t="str">
        <x:v>f/4</x:v>
      </x:c>
    </x:row>
    <x:row r="18">
      <x:c r="A18" t="str">
        <x:v>Geometry source: US583336A, printed page 3, Example 2; surface order follows Figure 3 left to right.</x:v>
      </x:c>
    </x:row>
    <x:row r="19">
      <x:c r="A19" t="str">
        <x:v>https://patents.google.com/patent/US583336A/en</x:v>
      </x:c>
    </x:row>
    <x:row r="20">
      <x:c r="A20" t="str">
        <x:v>https://www.schott.com/en-gb/products/optical-glass-p1000267</x:v>
      </x:c>
    </x:row>
    <x:row r="21">
      <x:c r="A21" t="str">
        <x:v>https://media.schott.com/api/public/content/1d833344084d4c21852de588600f6bb1?download=true&amp;v=c58a0267</x:v>
      </x:c>
    </x:row>
    <x:row r="22">
      <x:c r="A22" t="str">
        <x:v>Disp D–Hγ = (nHγ − nD)/(nD − 1). This is the patent’s relative dispersion, not an Abbe number.</x:v>
      </x:c>
    </x:row>
    <x:row r="23">
      <x:c r="A23" t="str">
        <x:v>Matching uses D = 589.3 nm and Hγ = 434.0472 nm. The patent explicitly identifies D; e/d alternatives are unnecessary.</x:v>
      </x:c>
    </x:row>
    <x:row r="25" ht="30" customHeight="1">
      <x:c r="A25" s="7" t="str">
        <x:v>Lens</x:v>
      </x:c>
      <x:c r="B25" s="7" t="str">
        <x:v>Material</x:v>
      </x:c>
      <x:c r="C25" s="7"/>
      <x:c r="D25" s="7" t="str">
        <x:v>Actual nHγ</x:v>
      </x:c>
      <x:c r="E25" s="7"/>
      <x:c r="F25" s="7" t="str">
        <x:v>Modern Vd</x:v>
      </x:c>
      <x:c r="G25" s="7" t="str">
        <x:v>Availability</x:v>
      </x:c>
      <x:c r="H25" s="7"/>
      <x:c r="I25" s="7"/>
      <x:c r="J25" s="7" t="str">
        <x:v>Score</x:v>
      </x:c>
      <x:c r="K25" s="7"/>
      <x:c r="L25" s="7"/>
    </x:row>
    <x:row r="26" ht="30" customHeight="1">
      <x:c r="A26" s="7" t="str">
        <x:v>L1</x:v>
      </x:c>
      <x:c r="B26" t="str">
        <x:v>N-BAF3</x:v>
      </x:c>
      <x:c r="C26"/>
      <x:c r="D26" s="4" t="n">
        <x:v>1.5988736542527089</x:v>
      </x:c>
      <x:c r="E26"/>
      <x:c r="F26" s="1" t="n">
        <x:v>46.63567460784827</x:v>
      </x:c>
      <x:c r="G26" s="7" t="str">
        <x:v>Inquiry glass</x:v>
      </x:c>
      <x:c r="H26" s="7"/>
      <x:c r="I26" s="7"/>
      <x:c r="J26" s="5" t="n">
        <x:v>0.011248196168127084</x:v>
      </x:c>
      <x:c r="K26"/>
      <x:c r="L26"/>
    </x:row>
    <x:row r="27" ht="30" customHeight="1">
      <x:c r="A27" s="7" t="str">
        <x:v>L2 = L3</x:v>
      </x:c>
      <x:c r="B27" t="str">
        <x:v>N-BAK1</x:v>
      </x:c>
      <x:c r="C27"/>
      <x:c r="D27" s="4" t="n">
        <x:v>1.5851094962681302</x:v>
      </x:c>
      <x:c r="E27"/>
      <x:c r="F27" s="1" t="n">
        <x:v>57.54844215373039</x:v>
      </x:c>
      <x:c r="G27" s="7" t="str">
        <x:v>Standard catalog</x:v>
      </x:c>
      <x:c r="H27" s="7"/>
      <x:c r="I27" s="7"/>
      <x:c r="J27" s="5" t="n">
        <x:v>0.0009556023686477636</x:v>
      </x:c>
      <x:c r="K27"/>
      <x:c r="L27"/>
    </x:row>
    <x:row r="28">
      <x:c r="A28" t="str">
        <x:v>Actual indices use the local AbbeGlassTable.xlsx Sellmeier coefficients. Current SCHOTT standard/inquiry lists filter candidates.</x:v>
      </x:c>
    </x:row>
    <x:row r="29">
      <x:c r="A29" t="str">
        <x:v>Score = SQRT(((actual nD − patent nD)/0.6)^2 + ((actual V(D,Hγ) − patent V(D,Hγ))/70)^2).</x:v>
      </x:c>
    </x:row>
    <x:row r="30">
      <x:c r="A30" t="str">
        <x:v>V(D,Hγ) = (nD − 1)/(nHγ − nD), derived from the two indices; the patent’s rounded dispersion remains in column G.</x:v>
      </x:c>
    </x:row>
    <x:row r="31">
      <x:c r="A31" t="str">
        <x:v>N-BAF3 is an approximate substitute: ΔnD = +0.00630227 and Δdispersion = +0.00022115 versus the printed values.</x:v>
      </x:c>
    </x:row>
    <x:row r="32">
      <x:c r="A32" t="str">
        <x:v>The four crown elements share N-BAK1. The two inner negative elements share N-BAF3 (current inquiry catalog).</x:v>
      </x:c>
    </x:row>
    <x:row r="33">
      <x:c r="A33" t="str">
        <x:v>AS is the central diaphragm; each adjacent air gap is 0.0514 f. Bf remains unspecified by the patent.</x:v>
      </x:c>
    </x:row>
    <x:row r="34">
      <x:c r="A34" t="str">
        <x:v>Original D-line paraxial check: EFL = 0.99997158 f; BFD = 0.81174188 f. These are calculated, not patent dimensions.</x:v>
      </x:c>
    </x:row>
  </x:sheetData>
  <x:mergeCells>
    <x:mergeCell ref="G26:I26"/>
    <x:mergeCell ref="G27:I27"/>
  </x:mergeCells>
  <x:pageMargins left="0.7" right="0.7" top="0.75" bottom="0.75" header="0.3" footer="0.3"/>
</x:worksheet>
</file>